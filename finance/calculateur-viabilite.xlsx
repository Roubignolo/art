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eur" sheetId="1" state="visible" r:id="rId3"/>
    <sheet name="Comparateur fournisseu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Ton prix de vente moyen, tous produits confondus</t>
        </r>
      </text>
    </comment>
    <comment ref="C8" authorId="0">
      <text>
        <r>
          <rPr>
            <sz val="10"/>
            <rFont val="Arial"/>
            <family val="2"/>
          </rPr>
          <t xml:space="preserve">Coût Printful du produit + son expédition</t>
        </r>
      </text>
    </comment>
    <comment ref="C19" authorId="0">
      <text>
        <r>
          <rPr>
            <sz val="10"/>
            <rFont val="Arial"/>
            <family val="2"/>
          </rPr>
          <t xml:space="preserve">Claude (scoring) + nanobanana + frais de mise en ligne, amortis par design listé</t>
        </r>
      </text>
    </comment>
    <comment ref="C20" authorId="0">
      <text>
        <r>
          <rPr>
            <sz val="10"/>
            <rFont val="Arial"/>
            <family val="2"/>
          </rPr>
          <t xml:space="preserve">LE levier principal. C'est ce que le moteur de scoring doit faire monter.</t>
        </r>
      </text>
    </comment>
    <comment ref="C31" authorId="0">
      <text>
        <r>
          <rPr>
            <sz val="10"/>
            <rFont val="Arial"/>
            <family val="2"/>
          </rPr>
          <t xml:space="preserve">En dessous de ce hit-rate, le projet perd de l'argent. Objectif chiffré du moteur de scoring.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Indicatif — vérifier le prix réel selon taille/papier</t>
        </r>
      </text>
    </comment>
    <comment ref="C15" authorId="0">
      <text>
        <r>
          <rPr>
            <sz val="10"/>
            <rFont val="Arial"/>
            <family val="2"/>
          </rPr>
          <t xml:space="preserve">Indicatif — vérifier le prix réel selon taille/papier</t>
        </r>
      </text>
    </comment>
    <comment ref="C16" authorId="0">
      <text>
        <r>
          <rPr>
            <sz val="10"/>
            <rFont val="Arial"/>
            <family val="2"/>
          </rPr>
          <t xml:space="preserve">Indicatif — vérifier le prix réel selon taille/papier</t>
        </r>
      </text>
    </comment>
    <comment ref="C17" authorId="0">
      <text>
        <r>
          <rPr>
            <sz val="10"/>
            <rFont val="Arial"/>
            <family val="2"/>
          </rPr>
          <t xml:space="preserve">Indicatif — vérifier le prix réel selon taille/papier</t>
        </r>
      </text>
    </comment>
    <comment ref="C18" authorId="0">
      <text>
        <r>
          <rPr>
            <sz val="10"/>
            <rFont val="Arial"/>
            <family val="2"/>
          </rPr>
          <t xml:space="preserve">Indicatif — vérifier le prix réel selon taille/papier</t>
        </r>
      </text>
    </comment>
  </commentList>
</comments>
</file>

<file path=xl/sharedStrings.xml><?xml version="1.0" encoding="utf-8"?>
<sst xmlns="http://schemas.openxmlformats.org/spreadsheetml/2006/main" count="64" uniqueCount="60">
  <si>
    <t xml:space="preserve">Calculateur de viabilité — POD automatisé (Claude → nanobanana → Printful → Etsy/Amazon)</t>
  </si>
  <si>
    <t xml:space="preserve">Modifie uniquement les cellules BLEUES. Tout le reste se recalcule automatiquement.</t>
  </si>
  <si>
    <t xml:space="preserve">1 — ÉCONOMIE D'UNE VENTE</t>
  </si>
  <si>
    <t xml:space="preserve">Prix de vente moyen (article)</t>
  </si>
  <si>
    <t xml:space="preserve">Port encaissé auprès du client</t>
  </si>
  <si>
    <t xml:space="preserve">Base fournisseur + expédition (coût)</t>
  </si>
  <si>
    <t xml:space="preserve">Frais Etsy — transaction (% du total)</t>
  </si>
  <si>
    <t xml:space="preserve">Frais Etsy — traitement (% du total)</t>
  </si>
  <si>
    <t xml:space="preserve">Frais Etsy — traitement (fixe / vente)</t>
  </si>
  <si>
    <t xml:space="preserve">Frais Etsy — mise en ligne (/ vente)</t>
  </si>
  <si>
    <t xml:space="preserve">Total encaissé / vente</t>
  </si>
  <si>
    <t xml:space="preserve">Total frais Etsy / vente</t>
  </si>
  <si>
    <t xml:space="preserve">MARGE NETTE / VENTE</t>
  </si>
  <si>
    <t xml:space="preserve">2 — PARAMÈTRES DU CATALOGUE</t>
  </si>
  <si>
    <t xml:space="preserve">Designs produits / mois</t>
  </si>
  <si>
    <t xml:space="preserve">Coût chargé / design listé</t>
  </si>
  <si>
    <t xml:space="preserve">Hit-rate (% designs qui vendent)</t>
  </si>
  <si>
    <t xml:space="preserve">Ventes moy. / design gagnant / mois</t>
  </si>
  <si>
    <t xml:space="preserve">Frais fixes mensuels (outils, abos)</t>
  </si>
  <si>
    <t xml:space="preserve">3 — RÉSULTAT MENSUEL (selon hit-rate ci-dessus)</t>
  </si>
  <si>
    <t xml:space="preserve">Designs gagnants / mois</t>
  </si>
  <si>
    <t xml:space="preserve">Ventes / mois</t>
  </si>
  <si>
    <t xml:space="preserve">Revenu net des ventes</t>
  </si>
  <si>
    <t xml:space="preserve">Coût de production (tous designs)</t>
  </si>
  <si>
    <t xml:space="preserve">Frais fixes</t>
  </si>
  <si>
    <t xml:space="preserve">RÉSULTAT MENSUEL</t>
  </si>
  <si>
    <t xml:space="preserve">HIT-RATE DE RENTABILITÉ (seuil)</t>
  </si>
  <si>
    <t xml:space="preserve">Marge sur seuil (hit-rate actuel − seuil)</t>
  </si>
  <si>
    <t xml:space="preserve">4 — SENSIBILITÉ AU HIT-RATE  (le facteur qui décide de tout)</t>
  </si>
  <si>
    <t xml:space="preserve">Hit-rate</t>
  </si>
  <si>
    <t xml:space="preserve">Résultat mensuel</t>
  </si>
  <si>
    <t xml:space="preserve">Résultat annuel</t>
  </si>
  <si>
    <t xml:space="preserve">Lecture</t>
  </si>
  <si>
    <t xml:space="preserve">• Le seuil de rentabilité (cellule jaune §3) est calculé automatiquement à partir de TES chiffres.</t>
  </si>
  <si>
    <t xml:space="preserve">• Sous ce seuil, produire plus de designs = perdre plus d'argent (coûts des SKU morts).</t>
  </si>
  <si>
    <t xml:space="preserve">• Doubler le hit-rate vaut bien mieux que doubler le volume : c'est le job du moteur de scoring.</t>
  </si>
  <si>
    <t xml:space="preserve">• ⚠ Au-delà de 10 000 $/an de ventes, Etsy impose les Offsite Ads (15 %) : ajoute ~3-5 pts de frais.</t>
  </si>
  <si>
    <t xml:space="preserve">• Je ne suis ni conseiller juridique ni financier — le volet PI mérite un avis spécialisé avant de scaler.</t>
  </si>
  <si>
    <t xml:space="preserve">Comparateur de fournisseurs — effet sur la marge et le seuil de rentabilité</t>
  </si>
  <si>
    <t xml:space="preserve">Coûts de base INDICATIFS (poster, à confirmer sur les sites). Modifie les cellules bleues. Hypothèses liées au Calculateur.</t>
  </si>
  <si>
    <t xml:space="preserve">Hypothèses communes (liées au Calculateur)</t>
  </si>
  <si>
    <t xml:space="preserve">Coût chargé / design</t>
  </si>
  <si>
    <t xml:space="preserve">Ventes / gagnant / mois</t>
  </si>
  <si>
    <t xml:space="preserve">Frais fixes mensuels</t>
  </si>
  <si>
    <t xml:space="preserve">Hit-rate actuel</t>
  </si>
  <si>
    <t xml:space="preserve">Fournisseur</t>
  </si>
  <si>
    <t xml:space="preserve">Base + envoi ($)</t>
  </si>
  <si>
    <t xml:space="preserve">Marge nette/vente</t>
  </si>
  <si>
    <t xml:space="preserve">Seuil hit-rate</t>
  </si>
  <si>
    <t xml:space="preserve">Résultat mensuel @ hit-rate actuel</t>
  </si>
  <si>
    <t xml:space="preserve">Baisse du seuil vs Printful</t>
  </si>
  <si>
    <t xml:space="preserve">Printful (référence)</t>
  </si>
  <si>
    <t xml:space="preserve">Gelato giclée (UE)</t>
  </si>
  <si>
    <t xml:space="preserve">Prodigi premium (UE)</t>
  </si>
  <si>
    <t xml:space="preserve">Printify (le moins cher)</t>
  </si>
  <si>
    <t xml:space="preserve">Gooten (éco)</t>
  </si>
  <si>
    <t xml:space="preserve">• Baisse de la base → marge/vente en hausse → seuil de hit-rate en baisse (le modèle devient plus tolérant).</t>
  </si>
  <si>
    <t xml:space="preserve">• Le port compte autant que la base : produire en UE pour des clients UE réduit coût ET délais.</t>
  </si>
  <si>
    <t xml:space="preserve">• Ne pas viser le moins cher absolu : ta marque est premium, la qualité d'impression soutient le prix.</t>
  </si>
  <si>
    <t xml:space="preserve">• Coûts INDICATIFS : remplace par les prix réels du produit/format que tu vends.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</si>
</sst>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&quot; $&quot;"/>
    <numFmt numFmtId="166" formatCode="0.0%"/>
    <numFmt numFmtId="167" formatCode="#,##0"/>
    <numFmt numFmtId="168" formatCode="#,##0.0"/>
    <numFmt numFmtId="169" formatCode="#,##0&quot; $&quot;;\(#,##0&quot;) $&quot;;&quot;- $&quot;"/>
    <numFmt numFmtId="170" formatCode="#,##0.00&quot; $&quot;"/>
    <numFmt numFmtId="171" formatCode="#,##0&quot; $&quot;;\(#,##0&quot;) $&quot;;&quot;- $&quot;"/>
    <numFmt numFmtId="172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8EAADB"/>
        <bgColor rgb="FF969696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4"/>
    <col collapsed="false" customWidth="true" hidden="false" outlineLevel="0" max="5" min="5" style="1" width="4"/>
    <col collapsed="false" customWidth="true" hidden="false" outlineLevel="0" max="10" min="6" style="1" width="14"/>
  </cols>
  <sheetData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" t="s">
        <v>2</v>
      </c>
      <c r="C5" s="4"/>
      <c r="D5" s="4"/>
    </row>
    <row r="6" customFormat="false" ht="15" hidden="false" customHeight="true" outlineLevel="0" collapsed="false">
      <c r="B6" s="5" t="s">
        <v>3</v>
      </c>
      <c r="C6" s="6" t="n">
        <v>25</v>
      </c>
    </row>
    <row r="7" customFormat="false" ht="15" hidden="false" customHeight="true" outlineLevel="0" collapsed="false">
      <c r="B7" s="5" t="s">
        <v>4</v>
      </c>
      <c r="C7" s="6" t="n">
        <v>5</v>
      </c>
    </row>
    <row r="8" customFormat="false" ht="15" hidden="false" customHeight="true" outlineLevel="0" collapsed="false">
      <c r="B8" s="5" t="s">
        <v>5</v>
      </c>
      <c r="C8" s="6" t="n">
        <v>18.5</v>
      </c>
    </row>
    <row r="9" customFormat="false" ht="15" hidden="false" customHeight="true" outlineLevel="0" collapsed="false">
      <c r="B9" s="5" t="s">
        <v>6</v>
      </c>
      <c r="C9" s="7" t="n">
        <v>0.065</v>
      </c>
    </row>
    <row r="10" customFormat="false" ht="15" hidden="false" customHeight="true" outlineLevel="0" collapsed="false">
      <c r="B10" s="5" t="s">
        <v>7</v>
      </c>
      <c r="C10" s="7" t="n">
        <v>0.03</v>
      </c>
    </row>
    <row r="11" customFormat="false" ht="15" hidden="false" customHeight="true" outlineLevel="0" collapsed="false">
      <c r="B11" s="5" t="s">
        <v>8</v>
      </c>
      <c r="C11" s="6" t="n">
        <v>0.25</v>
      </c>
    </row>
    <row r="12" customFormat="false" ht="15" hidden="false" customHeight="true" outlineLevel="0" collapsed="false">
      <c r="B12" s="5" t="s">
        <v>9</v>
      </c>
      <c r="C12" s="6" t="n">
        <v>0.2</v>
      </c>
    </row>
    <row r="13" customFormat="false" ht="15" hidden="false" customHeight="true" outlineLevel="0" collapsed="false">
      <c r="B13" s="8" t="s">
        <v>10</v>
      </c>
      <c r="C13" s="9" t="n">
        <f aca="false">C6+C7</f>
        <v>30</v>
      </c>
    </row>
    <row r="14" customFormat="false" ht="15" hidden="false" customHeight="true" outlineLevel="0" collapsed="false">
      <c r="B14" s="5" t="s">
        <v>11</v>
      </c>
      <c r="C14" s="9" t="n">
        <f aca="false">C13*(C9+C10)+C11+C12</f>
        <v>3.3</v>
      </c>
    </row>
    <row r="15" customFormat="false" ht="15" hidden="false" customHeight="true" outlineLevel="0" collapsed="false">
      <c r="B15" s="10" t="s">
        <v>12</v>
      </c>
      <c r="C15" s="11" t="n">
        <f aca="false">C13-C14-C8</f>
        <v>8.2</v>
      </c>
    </row>
    <row r="17" customFormat="false" ht="15" hidden="false" customHeight="true" outlineLevel="0" collapsed="false">
      <c r="B17" s="4" t="s">
        <v>13</v>
      </c>
      <c r="C17" s="4"/>
      <c r="D17" s="4"/>
    </row>
    <row r="18" customFormat="false" ht="15" hidden="false" customHeight="true" outlineLevel="0" collapsed="false">
      <c r="B18" s="5" t="s">
        <v>14</v>
      </c>
      <c r="C18" s="12" t="n">
        <v>1000</v>
      </c>
    </row>
    <row r="19" customFormat="false" ht="15" hidden="false" customHeight="true" outlineLevel="0" collapsed="false">
      <c r="B19" s="5" t="s">
        <v>15</v>
      </c>
      <c r="C19" s="6" t="n">
        <v>0.5</v>
      </c>
    </row>
    <row r="20" customFormat="false" ht="15" hidden="false" customHeight="true" outlineLevel="0" collapsed="false">
      <c r="B20" s="13" t="s">
        <v>16</v>
      </c>
      <c r="C20" s="14" t="n">
        <v>0.05</v>
      </c>
    </row>
    <row r="21" customFormat="false" ht="15" hidden="false" customHeight="true" outlineLevel="0" collapsed="false">
      <c r="B21" s="5" t="s">
        <v>17</v>
      </c>
      <c r="C21" s="15" t="n">
        <v>3</v>
      </c>
    </row>
    <row r="22" customFormat="false" ht="15" hidden="false" customHeight="true" outlineLevel="0" collapsed="false">
      <c r="B22" s="5" t="s">
        <v>18</v>
      </c>
      <c r="C22" s="16" t="n">
        <v>150</v>
      </c>
    </row>
    <row r="24" customFormat="false" ht="15" hidden="false" customHeight="true" outlineLevel="0" collapsed="false">
      <c r="B24" s="4" t="s">
        <v>19</v>
      </c>
      <c r="C24" s="4"/>
      <c r="D24" s="4"/>
    </row>
    <row r="25" customFormat="false" ht="15" hidden="false" customHeight="true" outlineLevel="0" collapsed="false">
      <c r="B25" s="5" t="s">
        <v>20</v>
      </c>
      <c r="C25" s="17" t="n">
        <f aca="false">C18*C20</f>
        <v>50</v>
      </c>
    </row>
    <row r="26" customFormat="false" ht="15" hidden="false" customHeight="true" outlineLevel="0" collapsed="false">
      <c r="B26" s="5" t="s">
        <v>21</v>
      </c>
      <c r="C26" s="18" t="n">
        <f aca="false">C25*C21</f>
        <v>150</v>
      </c>
    </row>
    <row r="27" customFormat="false" ht="15" hidden="false" customHeight="true" outlineLevel="0" collapsed="false">
      <c r="B27" s="5" t="s">
        <v>22</v>
      </c>
      <c r="C27" s="19" t="n">
        <f aca="false">C26*C15</f>
        <v>1230</v>
      </c>
    </row>
    <row r="28" customFormat="false" ht="15" hidden="false" customHeight="true" outlineLevel="0" collapsed="false">
      <c r="B28" s="5" t="s">
        <v>23</v>
      </c>
      <c r="C28" s="19" t="n">
        <f aca="false">-C18*C19</f>
        <v>-500</v>
      </c>
    </row>
    <row r="29" customFormat="false" ht="15" hidden="false" customHeight="true" outlineLevel="0" collapsed="false">
      <c r="B29" s="5" t="s">
        <v>24</v>
      </c>
      <c r="C29" s="19" t="n">
        <f aca="false">-C22</f>
        <v>-150</v>
      </c>
    </row>
    <row r="30" customFormat="false" ht="15" hidden="false" customHeight="true" outlineLevel="0" collapsed="false">
      <c r="B30" s="8" t="s">
        <v>25</v>
      </c>
      <c r="C30" s="20" t="n">
        <f aca="false">C27+C28+C29</f>
        <v>580</v>
      </c>
    </row>
    <row r="31" customFormat="false" ht="15" hidden="false" customHeight="true" outlineLevel="0" collapsed="false">
      <c r="B31" s="21" t="s">
        <v>26</v>
      </c>
      <c r="C31" s="22" t="n">
        <f aca="false">(C18*C19+C22)/(C18*C21*C15)</f>
        <v>0.0264227642276423</v>
      </c>
    </row>
    <row r="32" customFormat="false" ht="15" hidden="false" customHeight="true" outlineLevel="0" collapsed="false">
      <c r="B32" s="5" t="s">
        <v>27</v>
      </c>
      <c r="C32" s="23" t="n">
        <f aca="false">C20-C31</f>
        <v>0.0235772357723577</v>
      </c>
    </row>
    <row r="34" customFormat="false" ht="15" hidden="false" customHeight="true" outlineLevel="0" collapsed="false">
      <c r="B34" s="4" t="s">
        <v>28</v>
      </c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B35" s="24" t="s">
        <v>29</v>
      </c>
      <c r="C35" s="25" t="n">
        <v>0.01</v>
      </c>
      <c r="D35" s="25" t="n">
        <v>0.02</v>
      </c>
      <c r="E35" s="25" t="n">
        <v>0.03</v>
      </c>
      <c r="F35" s="25" t="n">
        <v>0.04</v>
      </c>
      <c r="G35" s="25" t="n">
        <v>0.05</v>
      </c>
      <c r="H35" s="25" t="n">
        <v>0.06</v>
      </c>
      <c r="I35" s="25" t="n">
        <v>0.08</v>
      </c>
      <c r="J35" s="25" t="n">
        <v>0.1</v>
      </c>
    </row>
    <row r="36" customFormat="false" ht="15" hidden="false" customHeight="true" outlineLevel="0" collapsed="false">
      <c r="B36" s="5" t="s">
        <v>30</v>
      </c>
      <c r="C36" s="26" t="n">
        <f aca="false">(C18*0.01*C21*C15)-(C18*C19)-C22</f>
        <v>-404</v>
      </c>
      <c r="D36" s="26" t="n">
        <f aca="false">(C18*0.02*C21*C15)-(C18*C19)-C22</f>
        <v>-158</v>
      </c>
      <c r="E36" s="26" t="n">
        <f aca="false">(C18*0.03*C21*C15)-(C18*C19)-C22</f>
        <v>87.9999999999999</v>
      </c>
      <c r="F36" s="26" t="n">
        <f aca="false">(C18*0.04*C21*C15)-(C18*C19)-C22</f>
        <v>334</v>
      </c>
      <c r="G36" s="26" t="n">
        <f aca="false">(C18*0.05*C21*C15)-(C18*C19)-C22</f>
        <v>580</v>
      </c>
      <c r="H36" s="26" t="n">
        <f aca="false">(C18*0.06*C21*C15)-(C18*C19)-C22</f>
        <v>826</v>
      </c>
      <c r="I36" s="26" t="n">
        <f aca="false">(C18*0.08*C21*C15)-(C18*C19)-C22</f>
        <v>1318</v>
      </c>
      <c r="J36" s="26" t="n">
        <f aca="false">(C18*0.1*C21*C15)-(C18*C19)-C22</f>
        <v>1810</v>
      </c>
    </row>
    <row r="37" customFormat="false" ht="15" hidden="false" customHeight="true" outlineLevel="0" collapsed="false">
      <c r="B37" s="5" t="s">
        <v>31</v>
      </c>
      <c r="C37" s="26" t="n">
        <f aca="false">C36*12</f>
        <v>-4848</v>
      </c>
      <c r="D37" s="26" t="n">
        <f aca="false">D36*12</f>
        <v>-1896</v>
      </c>
      <c r="E37" s="26" t="n">
        <f aca="false">E36*12</f>
        <v>1056</v>
      </c>
      <c r="F37" s="26" t="n">
        <f aca="false">F36*12</f>
        <v>4008</v>
      </c>
      <c r="G37" s="26" t="n">
        <f aca="false">G36*12</f>
        <v>6960</v>
      </c>
      <c r="H37" s="26" t="n">
        <f aca="false">H36*12</f>
        <v>9912</v>
      </c>
      <c r="I37" s="26" t="n">
        <f aca="false">I36*12</f>
        <v>15816</v>
      </c>
      <c r="J37" s="26" t="n">
        <f aca="false">J36*12</f>
        <v>21720</v>
      </c>
    </row>
    <row r="39" customFormat="false" ht="15" hidden="false" customHeight="true" outlineLevel="0" collapsed="false">
      <c r="B39" s="27" t="s">
        <v>32</v>
      </c>
    </row>
    <row r="40" customFormat="false" ht="15" hidden="false" customHeight="true" outlineLevel="0" collapsed="false">
      <c r="B40" s="28" t="s">
        <v>33</v>
      </c>
      <c r="C40" s="28"/>
      <c r="D40" s="28"/>
      <c r="E40" s="28"/>
      <c r="F40" s="28"/>
      <c r="G40" s="28"/>
      <c r="H40" s="28"/>
      <c r="I40" s="28"/>
      <c r="J40" s="28"/>
    </row>
    <row r="41" customFormat="false" ht="15" hidden="false" customHeight="true" outlineLevel="0" collapsed="false">
      <c r="B41" s="28" t="s">
        <v>34</v>
      </c>
      <c r="C41" s="28"/>
      <c r="D41" s="28"/>
      <c r="E41" s="28"/>
      <c r="F41" s="28"/>
      <c r="G41" s="28"/>
      <c r="H41" s="28"/>
      <c r="I41" s="28"/>
      <c r="J41" s="28"/>
    </row>
    <row r="42" customFormat="false" ht="15" hidden="false" customHeight="true" outlineLevel="0" collapsed="false">
      <c r="B42" s="28" t="s">
        <v>35</v>
      </c>
      <c r="C42" s="28"/>
      <c r="D42" s="28"/>
      <c r="E42" s="28"/>
      <c r="F42" s="28"/>
      <c r="G42" s="28"/>
      <c r="H42" s="28"/>
      <c r="I42" s="28"/>
      <c r="J42" s="28"/>
    </row>
    <row r="43" customFormat="false" ht="15" hidden="false" customHeight="true" outlineLevel="0" collapsed="false">
      <c r="B43" s="28" t="s">
        <v>36</v>
      </c>
      <c r="C43" s="28"/>
      <c r="D43" s="28"/>
      <c r="E43" s="28"/>
      <c r="F43" s="28"/>
      <c r="G43" s="28"/>
      <c r="H43" s="28"/>
      <c r="I43" s="28"/>
      <c r="J43" s="28"/>
    </row>
    <row r="44" customFormat="false" ht="15" hidden="false" customHeight="true" outlineLevel="0" collapsed="false">
      <c r="B44" s="28" t="s">
        <v>37</v>
      </c>
      <c r="C44" s="28"/>
      <c r="D44" s="28"/>
      <c r="E44" s="28"/>
      <c r="F44" s="28"/>
      <c r="G44" s="28"/>
      <c r="H44" s="28"/>
      <c r="I44" s="28"/>
      <c r="J44" s="28"/>
    </row>
  </sheetData>
  <mergeCells count="11">
    <mergeCell ref="B2:J2"/>
    <mergeCell ref="B3:J3"/>
    <mergeCell ref="B5:D5"/>
    <mergeCell ref="B17:D17"/>
    <mergeCell ref="B24:D24"/>
    <mergeCell ref="B34:J34"/>
    <mergeCell ref="B40:J40"/>
    <mergeCell ref="B41:J41"/>
    <mergeCell ref="B42:J42"/>
    <mergeCell ref="B43:J43"/>
    <mergeCell ref="B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20"/>
  </cols>
  <sheetData>
    <row r="2" customFormat="false" ht="24" hidden="false" customHeight="true" outlineLevel="0" collapsed="false">
      <c r="B2" s="29" t="s">
        <v>38</v>
      </c>
      <c r="C2" s="29"/>
      <c r="D2" s="29"/>
      <c r="E2" s="29"/>
      <c r="F2" s="29"/>
      <c r="G2" s="29"/>
    </row>
    <row r="3" customFormat="false" ht="15" hidden="false" customHeight="false" outlineLevel="0" collapsed="false">
      <c r="B3" s="30" t="s">
        <v>39</v>
      </c>
      <c r="C3" s="30"/>
      <c r="D3" s="30"/>
      <c r="E3" s="30"/>
      <c r="F3" s="30"/>
      <c r="G3" s="30"/>
    </row>
    <row r="5" customFormat="false" ht="15" hidden="false" customHeight="false" outlineLevel="0" collapsed="false">
      <c r="B5" s="31" t="s">
        <v>40</v>
      </c>
      <c r="C5" s="32"/>
      <c r="D5" s="32"/>
      <c r="E5" s="32"/>
      <c r="F5" s="32"/>
      <c r="G5" s="32"/>
    </row>
    <row r="6" customFormat="false" ht="15" hidden="false" customHeight="false" outlineLevel="0" collapsed="false">
      <c r="B6" s="33" t="s">
        <v>10</v>
      </c>
      <c r="C6" s="34" t="n">
        <f aca="false">Calculateur!C13</f>
        <v>30</v>
      </c>
    </row>
    <row r="7" customFormat="false" ht="15" hidden="false" customHeight="false" outlineLevel="0" collapsed="false">
      <c r="B7" s="33" t="s">
        <v>11</v>
      </c>
      <c r="C7" s="34" t="n">
        <f aca="false">Calculateur!C14</f>
        <v>3.3</v>
      </c>
    </row>
    <row r="8" customFormat="false" ht="15" hidden="false" customHeight="false" outlineLevel="0" collapsed="false">
      <c r="B8" s="33" t="s">
        <v>14</v>
      </c>
      <c r="C8" s="35" t="n">
        <f aca="false">Calculateur!C18</f>
        <v>1000</v>
      </c>
    </row>
    <row r="9" customFormat="false" ht="15" hidden="false" customHeight="false" outlineLevel="0" collapsed="false">
      <c r="B9" s="33" t="s">
        <v>41</v>
      </c>
      <c r="C9" s="34" t="n">
        <f aca="false">Calculateur!C19</f>
        <v>0.5</v>
      </c>
    </row>
    <row r="10" customFormat="false" ht="15" hidden="false" customHeight="false" outlineLevel="0" collapsed="false">
      <c r="B10" s="33" t="s">
        <v>42</v>
      </c>
      <c r="C10" s="36" t="n">
        <f aca="false">Calculateur!C21</f>
        <v>3</v>
      </c>
    </row>
    <row r="11" customFormat="false" ht="15" hidden="false" customHeight="false" outlineLevel="0" collapsed="false">
      <c r="B11" s="33" t="s">
        <v>43</v>
      </c>
      <c r="C11" s="37" t="n">
        <f aca="false">Calculateur!C22</f>
        <v>150</v>
      </c>
    </row>
    <row r="12" customFormat="false" ht="15" hidden="false" customHeight="false" outlineLevel="0" collapsed="false">
      <c r="B12" s="33" t="s">
        <v>44</v>
      </c>
      <c r="C12" s="38" t="n">
        <f aca="false">Calculateur!C20</f>
        <v>0.05</v>
      </c>
    </row>
    <row r="13" customFormat="false" ht="30" hidden="false" customHeight="true" outlineLevel="0" collapsed="false">
      <c r="B13" s="39" t="s">
        <v>45</v>
      </c>
      <c r="C13" s="39" t="s">
        <v>46</v>
      </c>
      <c r="D13" s="39" t="s">
        <v>47</v>
      </c>
      <c r="E13" s="39" t="s">
        <v>48</v>
      </c>
      <c r="F13" s="39" t="s">
        <v>49</v>
      </c>
      <c r="G13" s="39" t="s">
        <v>50</v>
      </c>
    </row>
    <row r="14" customFormat="false" ht="15" hidden="false" customHeight="false" outlineLevel="0" collapsed="false">
      <c r="B14" s="33" t="s">
        <v>51</v>
      </c>
      <c r="C14" s="40" t="n">
        <v>18.5</v>
      </c>
      <c r="D14" s="41" t="n">
        <f aca="false">$C$6-$C$7-C14</f>
        <v>8.2</v>
      </c>
      <c r="E14" s="42" t="n">
        <f aca="false">($C$8*$C$9+$C$11)/($C$8*$C$10*D14)</f>
        <v>0.0264227642276423</v>
      </c>
      <c r="F14" s="43" t="n">
        <f aca="false">($C$8*$C$12*$C$10*D14)-($C$8*$C$9)-$C$11</f>
        <v>580</v>
      </c>
      <c r="G14" s="44" t="n">
        <f aca="false">$E$14-E14</f>
        <v>0</v>
      </c>
    </row>
    <row r="15" customFormat="false" ht="15" hidden="false" customHeight="false" outlineLevel="0" collapsed="false">
      <c r="B15" s="33" t="s">
        <v>52</v>
      </c>
      <c r="C15" s="40" t="n">
        <v>16</v>
      </c>
      <c r="D15" s="41" t="n">
        <f aca="false">$C$6-$C$7-C15</f>
        <v>10.7</v>
      </c>
      <c r="E15" s="44" t="n">
        <f aca="false">($C$8*$C$9+$C$11)/($C$8*$C$10*D15)</f>
        <v>0.0202492211838006</v>
      </c>
      <c r="F15" s="43" t="n">
        <f aca="false">($C$8*$C$12*$C$10*D15)-($C$8*$C$9)-$C$11</f>
        <v>955</v>
      </c>
      <c r="G15" s="45" t="n">
        <f aca="false">$E$14-E15</f>
        <v>0.00617354304384166</v>
      </c>
    </row>
    <row r="16" customFormat="false" ht="15" hidden="false" customHeight="false" outlineLevel="0" collapsed="false">
      <c r="B16" s="33" t="s">
        <v>53</v>
      </c>
      <c r="C16" s="40" t="n">
        <v>15</v>
      </c>
      <c r="D16" s="41" t="n">
        <f aca="false">$C$6-$C$7-C16</f>
        <v>11.7</v>
      </c>
      <c r="E16" s="44" t="n">
        <f aca="false">($C$8*$C$9+$C$11)/($C$8*$C$10*D16)</f>
        <v>0.0185185185185185</v>
      </c>
      <c r="F16" s="43" t="n">
        <f aca="false">($C$8*$C$12*$C$10*D16)-($C$8*$C$9)-$C$11</f>
        <v>1105</v>
      </c>
      <c r="G16" s="45" t="n">
        <f aca="false">$E$14-E16</f>
        <v>0.00790424570912376</v>
      </c>
    </row>
    <row r="17" customFormat="false" ht="15" hidden="false" customHeight="false" outlineLevel="0" collapsed="false">
      <c r="B17" s="33" t="s">
        <v>54</v>
      </c>
      <c r="C17" s="40" t="n">
        <v>13</v>
      </c>
      <c r="D17" s="41" t="n">
        <f aca="false">$C$6-$C$7-C17</f>
        <v>13.7</v>
      </c>
      <c r="E17" s="44" t="n">
        <f aca="false">($C$8*$C$9+$C$11)/($C$8*$C$10*D17)</f>
        <v>0.0158150851581509</v>
      </c>
      <c r="F17" s="43" t="n">
        <f aca="false">($C$8*$C$12*$C$10*D17)-($C$8*$C$9)-$C$11</f>
        <v>1405</v>
      </c>
      <c r="G17" s="45" t="n">
        <f aca="false">$E$14-E17</f>
        <v>0.0106076790694914</v>
      </c>
    </row>
    <row r="18" customFormat="false" ht="15" hidden="false" customHeight="false" outlineLevel="0" collapsed="false">
      <c r="B18" s="33" t="s">
        <v>55</v>
      </c>
      <c r="C18" s="40" t="n">
        <v>12</v>
      </c>
      <c r="D18" s="41" t="n">
        <f aca="false">$C$6-$C$7-C18</f>
        <v>14.7</v>
      </c>
      <c r="E18" s="44" t="n">
        <f aca="false">($C$8*$C$9+$C$11)/($C$8*$C$10*D18)</f>
        <v>0.0147392290249433</v>
      </c>
      <c r="F18" s="43" t="n">
        <f aca="false">($C$8*$C$12*$C$10*D18)-($C$8*$C$9)-$C$11</f>
        <v>1555</v>
      </c>
      <c r="G18" s="45" t="n">
        <f aca="false">$E$14-E18</f>
        <v>0.011683535202699</v>
      </c>
    </row>
    <row r="20" customFormat="false" ht="15" hidden="false" customHeight="false" outlineLevel="0" collapsed="false">
      <c r="B20" s="46" t="s">
        <v>32</v>
      </c>
    </row>
    <row r="21" customFormat="false" ht="15" hidden="false" customHeight="false" outlineLevel="0" collapsed="false">
      <c r="B21" s="47" t="s">
        <v>56</v>
      </c>
      <c r="C21" s="47"/>
      <c r="D21" s="47"/>
      <c r="E21" s="47"/>
      <c r="F21" s="47"/>
      <c r="G21" s="47"/>
    </row>
    <row r="22" customFormat="false" ht="15" hidden="false" customHeight="false" outlineLevel="0" collapsed="false">
      <c r="B22" s="47" t="s">
        <v>57</v>
      </c>
      <c r="C22" s="47"/>
      <c r="D22" s="47"/>
      <c r="E22" s="47"/>
      <c r="F22" s="47"/>
      <c r="G22" s="47"/>
    </row>
    <row r="23" customFormat="false" ht="15" hidden="false" customHeight="false" outlineLevel="0" collapsed="false">
      <c r="B23" s="47" t="s">
        <v>58</v>
      </c>
      <c r="C23" s="47"/>
      <c r="D23" s="47"/>
      <c r="E23" s="47"/>
      <c r="F23" s="47"/>
      <c r="G23" s="47"/>
    </row>
    <row r="24" customFormat="false" ht="15" hidden="false" customHeight="false" outlineLevel="0" collapsed="false">
      <c r="B24" s="47" t="s">
        <v>59</v>
      </c>
      <c r="C24" s="47"/>
      <c r="D24" s="47"/>
      <c r="E24" s="47"/>
      <c r="F24" s="47"/>
      <c r="G24" s="47"/>
    </row>
  </sheetData>
  <mergeCells count="6">
    <mergeCell ref="B2:G2"/>
    <mergeCell ref="B3:G3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2026-05-22T06:24:14Z</dcterms:created>
  <dc:creator>openpyxl</dc:creator>
  <dc:description/>
  <dc:language>en-US</dc:language>
  <cp:lastModifiedBy/>
  <dcterms:modified xsi:type="dcterms:W3CDTF">2026-05-23T21:11:21Z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